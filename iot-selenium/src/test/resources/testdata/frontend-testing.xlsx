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ign Up"/>
    <sheet r:id="rId2" sheetId="2" name="Sign In"/>
    <sheet r:id="rId3" sheetId="3" name="Profile Page"/>
  </sheets>
  <calcPr fullCalcOnLoad="1"/>
</workbook>
</file>

<file path=xl/sharedStrings.xml><?xml version="1.0" encoding="utf-8"?>
<sst xmlns="http://schemas.openxmlformats.org/spreadsheetml/2006/main" count="424" uniqueCount="141">
  <si>
    <t>Test Case Name</t>
  </si>
  <si>
    <t>Status</t>
  </si>
  <si>
    <t>Test Case ID</t>
  </si>
  <si>
    <t>Feature (Ticket #)</t>
  </si>
  <si>
    <t>Scope</t>
  </si>
  <si>
    <t>Level</t>
  </si>
  <si>
    <t>Technique</t>
  </si>
  <si>
    <t>Type</t>
  </si>
  <si>
    <t>Steps to Reproduce</t>
  </si>
  <si>
    <t>Test Data Used</t>
  </si>
  <si>
    <t>Expected Results</t>
  </si>
  <si>
    <t>Actual Results</t>
  </si>
  <si>
    <t>Endpoint</t>
  </si>
  <si>
    <t>Assignee</t>
  </si>
  <si>
    <t>Approver</t>
  </si>
  <si>
    <t>Notes</t>
  </si>
  <si>
    <t>API Contract Link</t>
  </si>
  <si>
    <t>Input validation in change password</t>
  </si>
  <si>
    <t>Passed</t>
  </si>
  <si>
    <t>#86c9hj8zp</t>
  </si>
  <si>
    <t>Frontend</t>
  </si>
  <si>
    <t>System</t>
  </si>
  <si>
    <t>Boundary</t>
  </si>
  <si>
    <t>Negative</t>
  </si>
  <si>
    <t>1. Open the "Change Password" section/modal.
2. Enter a "New Password" (e.g., 123).
3. Enter a different password in "Confirm New Password" (e.g., abc).
4. Click "Update."</t>
  </si>
  <si>
    <t>-</t>
  </si>
  <si>
    <t>UI should prevent the submission and display a "Passwords do not match" or "Password too short" error message.</t>
  </si>
  <si>
    <t>Validation works as intended.</t>
  </si>
  <si>
    <t>Ali Elbagoury</t>
  </si>
  <si>
    <t>Yamen Ehab</t>
  </si>
  <si>
    <t>Profile Image change</t>
  </si>
  <si>
    <t>Exploratory</t>
  </si>
  <si>
    <t>Positive</t>
  </si>
  <si>
    <t>1. Click on the profile image or the "Upload" button.
2. Select a valid image file (JPG/PNG, small size).</t>
  </si>
  <si>
    <t>UI should ideally show a "Preview" of the new image immediately, even if it isn't saved to a server yet. The layout should not distort.</t>
  </si>
  <si>
    <t>It passed 3 tests.
It passed the positive test normally.
It also passed 2 negative tests, huge image size and invalid image format.</t>
  </si>
  <si>
    <t>Input masking</t>
  </si>
  <si>
    <t>Visual Inspection</t>
  </si>
  <si>
    <t>1. Type into the "Current Password," "New Password," and "Confirm Password" fields.
2. Check for a "Show/Hide" toggle.</t>
  </si>
  <si>
    <t>All three fields must obscure characters by default. If a toggle exists, it should reveal the text correctly for all three fields.</t>
  </si>
  <si>
    <t>Works as intended.</t>
  </si>
  <si>
    <t>Routing back to home</t>
  </si>
  <si>
    <t>#86c9hj989</t>
  </si>
  <si>
    <t>1. Locate the "Home" link, "Back" button, or click the App Logo</t>
  </si>
  <si>
    <t>Normal rerouting back to the home page.</t>
  </si>
  <si>
    <t>Routes successfully.</t>
  </si>
  <si>
    <t>Routing from home to profile</t>
  </si>
  <si>
    <t>1. Locate the profile icon at the home page.</t>
  </si>
  <si>
    <t>Normal routing to profile page.</t>
  </si>
  <si>
    <t>Responsiveness on different resolutions</t>
  </si>
  <si>
    <t>1. Use Browser DevTools to view the page on multiple resolutions.
2. Check the "Change Password" modal/form specifically to see if it fits on a small screen.</t>
  </si>
  <si>
    <t>The profile info and forms should stack or resize gracefully. Elements should not overflow the sides of the screen.</t>
  </si>
  <si>
    <t>Works flawlessly across multiple resolutions.
https://drive.google.com/file/d/1_3NkhSwe40Uxdn9d-31bN-K-7yuKTOJ9/view?usp=sharing
https://drive.google.com/file/d/1QCJl0Lt4XD8aPLtzDnEUbeDKNQcg9EFK/view?usp=sharing
https://drive.google.com/file/d/19Z0apMDD6NwxhZxHSzAuGc7awvn0GECd/view?usp=sharing</t>
  </si>
  <si>
    <t>Placeholder texts</t>
  </si>
  <si>
    <t>1. Observe the fields in the "Change Password" section before typing.
2. If the profile has editable fields, delete the text to see the placeholder.</t>
  </si>
  <si>
    <t>Placeholders should provide clear instructions. They should have sufficient color contrast but look distinct from actual user-entered text.</t>
  </si>
  <si>
    <t>Placeholders are placed appropriately in all fields.</t>
  </si>
  <si>
    <t>Selenium Profile Smoke</t>
  </si>
  <si>
    <t>Ready</t>
  </si>
  <si>
    <t>SEL-PROFILE-01</t>
  </si>
  <si>
    <t>#selenium</t>
  </si>
  <si>
    <t>E2E</t>
  </si>
  <si>
    <t>1. Log in with valid credentials.
2. Open the profile page.
3. Verify the displayed user details.</t>
  </si>
  <si>
    <t>email=john@example.com; password=Password123!; expectedFirstName=John; expectedLastName=Doe; expectedEmail=john@example.com; expectedGreetingName=John</t>
  </si>
  <si>
    <t>Should display the cached profile information and allow navigation back to the dashboard.</t>
  </si>
  <si>
    <t>http://localhost:4200/profile</t>
  </si>
  <si>
    <t>Automation</t>
  </si>
  <si>
    <t>QA</t>
  </si>
  <si>
    <t>Used by UserProfileTest.</t>
  </si>
  <si>
    <t>Input Validation</t>
  </si>
  <si>
    <t>#86c9hj8mn</t>
  </si>
  <si>
    <t>1. Enter an email without a domain.
2. Enter an email with forbidden characters.
3. Leave the password field empty and click "Sign In."</t>
  </si>
  <si>
    <t>UI should immediately provide visual feedback.</t>
  </si>
  <si>
    <t>Works as intended, clear feedback based on the filled fields.
https://drive.google.com/file/d/1kPCfhMwKLPfIr8ICdzjazEX4KKuU0pTn/view?usp=sharing</t>
  </si>
  <si>
    <t>Input Masking</t>
  </si>
  <si>
    <t>#86c9hj8j1</t>
  </si>
  <si>
    <t>1. Type any string into the Password field.
2. Check if characters are obscured.
3. If an "Eye" icon exists, click it to reveal and then click again to hide.</t>
  </si>
  <si>
    <t>Characters must default to masked. The toggle must work instantaneously without resetting the input field.</t>
  </si>
  <si>
    <t>1. Open the Sign-In page.
2. Verify the prompt text in empty fields.</t>
  </si>
  <si>
    <t>Placeholders should be visible and helpful. They must disappear as soon as the user starts typing and reappear if the input is cleared.</t>
  </si>
  <si>
    <t>Placeholders are applied appropriately to all fields.</t>
  </si>
  <si>
    <t>1. Open Browser DevTools and toggle the device toolbar.
2. Check the layout on different resolutions.</t>
  </si>
  <si>
    <t>The Sign-In card should stay centered. Buttons should be large enough to be tapped by a thumb on mobile. No text should overlap or be cut off.</t>
  </si>
  <si>
    <t>Works flawlessly across multiple resolutions.
https://drive.google.com/file/d/171iUmjeZjvVCscThdO4QB4prmyWjXond/view?usp=sharing
https://drive.google.com/file/d/1JcwyyuvFDh0SX2GEHeW7Uelj2tIFti6l/view?usp=sharing
https://drive.google.com/file/d/15RfBqRLQV9zfeD30YFIacyCG9RBgR-2C/view?usp=sharing</t>
  </si>
  <si>
    <t>Enter Key Support</t>
  </si>
  <si>
    <t>1. Fill in the Email and Password fields.
2. With the cursor still inside the Password field, press the Enter key on your keyboard.</t>
  </si>
  <si>
    <t>The "Sign In" action should be triggered exactly as if the button was clicked.</t>
  </si>
  <si>
    <t>Routing to sign up</t>
  </si>
  <si>
    <t>1. Locate the link "Create an account".
2. Click the link.</t>
  </si>
  <si>
    <t>The browser should transition to the Sign-Up page immediately.</t>
  </si>
  <si>
    <t>Routing to home after successful login</t>
  </si>
  <si>
    <t>1. Fill in a valid account data.
2. Sign in.</t>
  </si>
  <si>
    <t>Upon clicking "Sign In," the URL should change and the Home/Dashboard component should load.</t>
  </si>
  <si>
    <t>Selenium Login Success</t>
  </si>
  <si>
    <t>SEL-LOGIN-01</t>
  </si>
  <si>
    <t>1. Open /login.
2. Enter valid credentials.
3. Submit the form.</t>
  </si>
  <si>
    <t>email=faridakhaled05@gmail.com; password=Farida123!; expectedGreetingName=Farida</t>
  </si>
  <si>
    <t>Should navigate to the dashboard and show the greeting for Farida.</t>
  </si>
  <si>
    <t>http://localhost:4200/login -&gt; /home</t>
  </si>
  <si>
    <t>Used by LoginTest and DashboardTest.</t>
  </si>
  <si>
    <t>Selenium Login Failure</t>
  </si>
  <si>
    <t>SEL-LOGIN-02</t>
  </si>
  <si>
    <t>1. Open /login.
2. Enter an invalid password.
3. Submit the form.</t>
  </si>
  <si>
    <t>email=john@example.com; password=WrongPassword123!; expectedError=Invalid email or password.</t>
  </si>
  <si>
    <t>Should remain on the login page and show the invalid-credentials message.</t>
  </si>
  <si>
    <t>http://localhost:4200/login</t>
  </si>
  <si>
    <t>Used by LoginTest negative coverage.</t>
  </si>
  <si>
    <t>#86c9hj78h</t>
  </si>
  <si>
    <t>1. Navigate to the Sign-Up page.
2. Enter an invalid email format.
3. Enter a password that violates the known requirements.
4. Observe the field state or error messages.</t>
  </si>
  <si>
    <t>UI should display immediate validation errors (red text/icons) and prevent the submission state.</t>
  </si>
  <si>
    <t>Client-side validation works flawlessly. Everything is well handled.
https://drive.google.com/file/d/1LiDWtWVFaPFACnMuyo10M9iMARAQcyjM/view?usp=sharing</t>
  </si>
  <si>
    <t>1. Click on the "Password" and "Confirm Password" fields.
2. Type a string of characters.
3. Click the "Show/Hide" (Eye) icon.</t>
  </si>
  <si>
    <t>Characters should be hidden by default. If a toggle exists, it should switch between plain text and masked text seamlessly.</t>
  </si>
  <si>
    <t>1. Load the Sign-Up page.
2. Check all empty input fields (Name, Email, Password).
3. Type in a field and then delete the text to ensure the placeholder returns.</t>
  </si>
  <si>
    <t>Every field must have a descriptive placeholder that disappears when typing and is grammatically correct.</t>
  </si>
  <si>
    <t xml:space="preserve">Placeholders are applied to respective fields appropriately. </t>
  </si>
  <si>
    <t>1. Open Browser DevTools (F12).
2. Toggle "Device Mode" and cycle through Multiple resoultions.
3. Check for overlapping buttons or text being cut off.</t>
  </si>
  <si>
    <t>The layout should fluidly adapt. On mobile, fields should stack vertically; on desktop, they should be centered and readable without horizontal scrolling.</t>
  </si>
  <si>
    <t>Works as intended across multiple phone/tablet screen sizes.
https://drive.google.com/file/d/1McUuMpZX3ujlKA7rePkRMyAkr9oj84o-/view?usp=sharing
https://drive.google.com/file/d/1TrbKnC6gbp0CyJgzKBh5iLg4AYThKYUE/view?usp=sharing
https://drive.google.com/file/d/1HR8KOSaL_f0yixcDGAJwm0MLKs68EaqO/view?usp=sharing</t>
  </si>
  <si>
    <t>Submission prevention</t>
  </si>
  <si>
    <t>1. Leave one required field empty.
2. Attempt to click the "Sign Up" or "Submit" button.</t>
  </si>
  <si>
    <t>The button should either be visually disabled or trigger a "Required Field" tooltip, preventing any mock-API call.</t>
  </si>
  <si>
    <t xml:space="preserve">It shows required field tooltips and prevents registration.
https://drive.google.com/file/d/1tzNcYj8UzxwxUKu-DPErDA8PUKwe2LIS/view?usp=sharing
</t>
  </si>
  <si>
    <t>Routing to sign in</t>
  </si>
  <si>
    <t>1. Locate the link that says "Already have an account? Sign In."
2. Click the link.</t>
  </si>
  <si>
    <t>The URL should update and the Sign-In component should render immediately without a full page reload.</t>
  </si>
  <si>
    <t>Huge profile image upload (50MBs)</t>
  </si>
  <si>
    <t>1. Navigate to the "Upload Profile Picture" section.
2. Select a file that is significantly large (50MB+).
3. Select a file that isn't an image.</t>
  </si>
  <si>
    <t>The frontend should intercept this locally and show an error rather than freezing or attempting to process/upload a massive file or another type of files.</t>
  </si>
  <si>
    <t>Validation is well handled here. It refuses big image sizes and enforces image extensions.
https://drive.google.com/file/d/1Y9RmxvWa1sQcX5h6nI8k-EV--s6hcJUA/view?usp=sharing
https://drive.google.com/file/d/1WUuQNv3TUn_6Ob4OHGnKo75ELtXR5usU/view?usp=sharing</t>
  </si>
  <si>
    <t>Routing to home on successful sign up</t>
  </si>
  <si>
    <t>1. Complete a successful login.
2. Confirm that the page redirects to home page automatically on success attempt.</t>
  </si>
  <si>
    <t>Automatic redirect to homepage.</t>
  </si>
  <si>
    <t>Works flawlessly.
https://drive.google.com/file/d/1f0gBLB0fl36ezdylnSIZ0YAfilT7ZvfM/view?usp=sharing</t>
  </si>
  <si>
    <t>Selenium Registration Success</t>
  </si>
  <si>
    <t>SEL-SIGNUP-01</t>
  </si>
  <si>
    <t>1. Open /signup.
2. Enter a unique email and valid name/password data.
3. Submit the form.</t>
  </si>
  <si>
    <t>emailPrefix=signup.selenium; emailDomain=example.com; firstName=Alice; lastName=Brown; password=Signup123!; expectedGreetingName=Alice</t>
  </si>
  <si>
    <t>Should create the account, sign in automatically, and show the dashboard greeting for Alice.</t>
  </si>
  <si>
    <t>http://localhost:4200/signup -&gt; /home</t>
  </si>
  <si>
    <t>Used by SignupTest.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</si>
</sst>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11"/>
      <color rgb="FFffffff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34f5c"/>
      </patternFill>
    </fill>
    <fill>
      <patternFill patternType="solid">
        <fgColor rgb="FF76a5af"/>
      </patternFill>
    </fill>
    <fill>
      <patternFill patternType="solid">
        <fgColor rgb="FFd0e0e3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left" wrapText="1"/>
    </xf>
    <xf xfId="0" numFmtId="1" applyNumberFormat="1" borderId="1" applyBorder="1" fontId="2" applyFont="1" fillId="3" applyFill="1" applyAlignment="1">
      <alignment horizontal="left" wrapText="1"/>
    </xf>
    <xf xfId="0" numFmtId="0" borderId="2" applyBorder="1" fontId="3" applyFont="1" fillId="0" applyAlignment="1">
      <alignment horizontal="left"/>
    </xf>
    <xf xfId="0" numFmtId="0" borderId="1" applyBorder="1" fontId="4" applyFont="1" fillId="3" applyFill="1" applyAlignment="1">
      <alignment horizontal="left"/>
    </xf>
    <xf xfId="0" numFmtId="0" borderId="1" applyBorder="1" fontId="4" applyFont="1" fillId="4" applyFill="1" applyAlignment="1">
      <alignment horizontal="left"/>
    </xf>
    <xf xfId="0" numFmtId="0" borderId="2" applyBorder="1" fontId="5" applyFont="1" fillId="0" applyAlignment="1">
      <alignment horizontal="center"/>
    </xf>
    <xf xfId="0" numFmtId="0" borderId="2" applyBorder="1" fontId="5" applyFont="1" fillId="0" applyAlignment="1">
      <alignment horizontal="center" wrapText="1"/>
    </xf>
    <xf xfId="0" numFmtId="0" borderId="2" applyBorder="1" fontId="5" applyFont="1" fillId="0" applyAlignment="1">
      <alignment horizontal="center" wrapText="1"/>
    </xf>
    <xf xfId="0" numFmtId="0" borderId="2" applyBorder="1" fontId="4" applyFont="1" fillId="0" applyAlignment="1">
      <alignment horizontal="left" wrapText="1"/>
    </xf>
    <xf xfId="0" numFmtId="0" borderId="2" applyBorder="1" fontId="4" applyFont="1" fillId="0" applyAlignment="1">
      <alignment horizontal="center" wrapText="1"/>
    </xf>
    <xf xfId="0" numFmtId="0" borderId="2" applyBorder="1" fontId="4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left" wrapText="1"/>
    </xf>
    <xf xfId="0" numFmtId="0" borderId="2" applyBorder="1" fontId="6" applyFont="1" fillId="0" applyAlignment="1">
      <alignment horizontal="left" wrapText="1"/>
    </xf>
    <xf xfId="0" numFmtId="0" borderId="2" applyBorder="1" fontId="4" applyFont="1" fillId="0" applyAlignment="1">
      <alignment horizontal="left"/>
    </xf>
    <xf xfId="0" numFmtId="0" borderId="1" applyBorder="1" fontId="1" applyFont="1" fillId="2" applyFill="1" applyAlignment="1">
      <alignment horizontal="center" wrapText="1"/>
    </xf>
    <xf xfId="0" numFmtId="0" borderId="2" applyBorder="1" fontId="5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"/>
  <sheetViews>
    <sheetView workbookViewId="0"/>
  </sheetViews>
  <sheetFormatPr defaultRowHeight="15" x14ac:dyDescent="0.25"/>
  <cols>
    <col min="1" max="1" style="16" width="43.86214285714286" customWidth="1" bestFit="1"/>
    <col min="2" max="2" style="16" width="21.719285714285714" customWidth="1" bestFit="1"/>
    <col min="3" max="3" style="16" width="15.147857142857141" customWidth="1" bestFit="1"/>
    <col min="4" max="4" style="16" width="20.005" customWidth="1" bestFit="1"/>
    <col min="5" max="5" style="16" width="15.147857142857141" customWidth="1" bestFit="1"/>
    <col min="6" max="6" style="16" width="15.147857142857141" customWidth="1" bestFit="1"/>
    <col min="7" max="7" style="17" width="15.147857142857141" customWidth="1" bestFit="1"/>
    <col min="8" max="8" style="16" width="15.147857142857141" customWidth="1" bestFit="1"/>
    <col min="9" max="9" style="17" width="29.862142857142857" customWidth="1" bestFit="1"/>
    <col min="10" max="10" style="17" width="22.14785714285714" customWidth="1" bestFit="1"/>
    <col min="11" max="11" style="17" width="24.719285714285714" customWidth="1" bestFit="1"/>
    <col min="12" max="12" style="17" width="39.43357142857143" customWidth="1" bestFit="1"/>
    <col min="13" max="13" style="17" width="15.147857142857141" customWidth="1" bestFit="1"/>
    <col min="14" max="14" style="16" width="13.719285714285713" customWidth="1" bestFit="1"/>
    <col min="15" max="15" style="16" width="15.005" customWidth="1" bestFit="1"/>
    <col min="16" max="16" style="16" width="22.719285714285714" customWidth="1" bestFit="1"/>
    <col min="17" max="17" style="16" width="17.719285714285714" customWidth="1" bestFit="1"/>
  </cols>
  <sheetData>
    <row x14ac:dyDescent="0.25" r="1" customHeight="1" ht="33" customFormat="1" s="1">
      <c r="A1" s="2" t="s">
        <v>0</v>
      </c>
      <c r="B1" s="2" t="s">
        <v>1</v>
      </c>
      <c r="C1" s="23">
        <f>"REG-" &amp; TEXT(ROW()-2, "00")</f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20.25">
      <c r="A2" s="4"/>
      <c r="B2" s="5"/>
      <c r="C2" s="4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x14ac:dyDescent="0.25" r="3" customHeight="1" ht="148.5">
      <c r="A3" s="7" t="s">
        <v>69</v>
      </c>
      <c r="B3" s="8" t="s">
        <v>18</v>
      </c>
      <c r="C3" s="24">
        <f>"REG-" &amp; TEXT(ROW()-2, "00")</f>
      </c>
      <c r="D3" s="8" t="s">
        <v>107</v>
      </c>
      <c r="E3" s="8" t="s">
        <v>20</v>
      </c>
      <c r="F3" s="8" t="s">
        <v>21</v>
      </c>
      <c r="G3" s="10" t="s">
        <v>22</v>
      </c>
      <c r="H3" s="8" t="s">
        <v>23</v>
      </c>
      <c r="I3" s="11" t="s">
        <v>108</v>
      </c>
      <c r="J3" s="11" t="s">
        <v>25</v>
      </c>
      <c r="K3" s="11" t="s">
        <v>109</v>
      </c>
      <c r="L3" s="21" t="s">
        <v>110</v>
      </c>
      <c r="M3" s="11" t="s">
        <v>25</v>
      </c>
      <c r="N3" s="8" t="s">
        <v>28</v>
      </c>
      <c r="O3" s="8" t="s">
        <v>29</v>
      </c>
      <c r="P3" s="8"/>
      <c r="Q3" s="13"/>
    </row>
    <row x14ac:dyDescent="0.25" r="4" customHeight="1" ht="105.75">
      <c r="A4" s="7" t="s">
        <v>74</v>
      </c>
      <c r="B4" s="8" t="s">
        <v>18</v>
      </c>
      <c r="C4" s="24">
        <f>"REG-" &amp; TEXT(ROW()-2, "00")</f>
      </c>
      <c r="D4" s="8" t="s">
        <v>107</v>
      </c>
      <c r="E4" s="8" t="s">
        <v>20</v>
      </c>
      <c r="F4" s="8" t="s">
        <v>21</v>
      </c>
      <c r="G4" s="10" t="s">
        <v>37</v>
      </c>
      <c r="H4" s="8" t="s">
        <v>32</v>
      </c>
      <c r="I4" s="11" t="s">
        <v>111</v>
      </c>
      <c r="J4" s="11" t="s">
        <v>25</v>
      </c>
      <c r="K4" s="11" t="s">
        <v>112</v>
      </c>
      <c r="L4" s="11" t="s">
        <v>40</v>
      </c>
      <c r="M4" s="11" t="s">
        <v>25</v>
      </c>
      <c r="N4" s="8" t="s">
        <v>28</v>
      </c>
      <c r="O4" s="8" t="s">
        <v>29</v>
      </c>
      <c r="P4" s="8"/>
      <c r="Q4" s="13"/>
    </row>
    <row x14ac:dyDescent="0.25" r="5" customHeight="1" ht="120">
      <c r="A5" s="7" t="s">
        <v>53</v>
      </c>
      <c r="B5" s="8" t="s">
        <v>18</v>
      </c>
      <c r="C5" s="24">
        <f>"REG-" &amp; TEXT(ROW()-2, "00")</f>
      </c>
      <c r="D5" s="8" t="s">
        <v>107</v>
      </c>
      <c r="E5" s="8" t="s">
        <v>20</v>
      </c>
      <c r="F5" s="8" t="s">
        <v>21</v>
      </c>
      <c r="G5" s="10" t="s">
        <v>37</v>
      </c>
      <c r="H5" s="8" t="s">
        <v>32</v>
      </c>
      <c r="I5" s="11" t="s">
        <v>113</v>
      </c>
      <c r="J5" s="11" t="s">
        <v>25</v>
      </c>
      <c r="K5" s="11" t="s">
        <v>114</v>
      </c>
      <c r="L5" s="11" t="s">
        <v>115</v>
      </c>
      <c r="M5" s="11" t="s">
        <v>25</v>
      </c>
      <c r="N5" s="8" t="s">
        <v>28</v>
      </c>
      <c r="O5" s="8" t="s">
        <v>29</v>
      </c>
      <c r="P5" s="8"/>
      <c r="Q5" s="13"/>
    </row>
    <row x14ac:dyDescent="0.25" r="6" customHeight="1" ht="141">
      <c r="A6" s="7" t="s">
        <v>49</v>
      </c>
      <c r="B6" s="8" t="s">
        <v>18</v>
      </c>
      <c r="C6" s="24">
        <f>"REG-" &amp; TEXT(ROW()-2, "00")</f>
      </c>
      <c r="D6" s="8" t="s">
        <v>107</v>
      </c>
      <c r="E6" s="8" t="s">
        <v>20</v>
      </c>
      <c r="F6" s="8" t="s">
        <v>21</v>
      </c>
      <c r="G6" s="10" t="s">
        <v>31</v>
      </c>
      <c r="H6" s="8" t="s">
        <v>32</v>
      </c>
      <c r="I6" s="11" t="s">
        <v>116</v>
      </c>
      <c r="J6" s="11" t="s">
        <v>25</v>
      </c>
      <c r="K6" s="11" t="s">
        <v>117</v>
      </c>
      <c r="L6" s="21" t="s">
        <v>118</v>
      </c>
      <c r="M6" s="11" t="s">
        <v>25</v>
      </c>
      <c r="N6" s="8" t="s">
        <v>28</v>
      </c>
      <c r="O6" s="8" t="s">
        <v>29</v>
      </c>
      <c r="P6" s="8"/>
      <c r="Q6" s="13"/>
    </row>
    <row x14ac:dyDescent="0.25" r="7" customHeight="1" ht="77.25">
      <c r="A7" s="7" t="s">
        <v>119</v>
      </c>
      <c r="B7" s="8" t="s">
        <v>18</v>
      </c>
      <c r="C7" s="24">
        <f>"REG-" &amp; TEXT(ROW()-2, "00")</f>
      </c>
      <c r="D7" s="8" t="s">
        <v>107</v>
      </c>
      <c r="E7" s="8" t="s">
        <v>20</v>
      </c>
      <c r="F7" s="8" t="s">
        <v>21</v>
      </c>
      <c r="G7" s="10" t="s">
        <v>31</v>
      </c>
      <c r="H7" s="8" t="s">
        <v>23</v>
      </c>
      <c r="I7" s="11" t="s">
        <v>120</v>
      </c>
      <c r="J7" s="11" t="s">
        <v>25</v>
      </c>
      <c r="K7" s="11" t="s">
        <v>121</v>
      </c>
      <c r="L7" s="21" t="s">
        <v>122</v>
      </c>
      <c r="M7" s="11" t="s">
        <v>25</v>
      </c>
      <c r="N7" s="8" t="s">
        <v>28</v>
      </c>
      <c r="O7" s="8" t="s">
        <v>29</v>
      </c>
      <c r="P7" s="8"/>
      <c r="Q7" s="13"/>
    </row>
    <row x14ac:dyDescent="0.25" r="8" customHeight="1" ht="77.25">
      <c r="A8" s="7" t="s">
        <v>123</v>
      </c>
      <c r="B8" s="8" t="s">
        <v>18</v>
      </c>
      <c r="C8" s="24">
        <f>"REG-" &amp; TEXT(ROW()-2, "00")</f>
      </c>
      <c r="D8" s="8" t="s">
        <v>107</v>
      </c>
      <c r="E8" s="8" t="s">
        <v>20</v>
      </c>
      <c r="F8" s="8" t="s">
        <v>21</v>
      </c>
      <c r="G8" s="10" t="s">
        <v>31</v>
      </c>
      <c r="H8" s="8" t="s">
        <v>32</v>
      </c>
      <c r="I8" s="11" t="s">
        <v>124</v>
      </c>
      <c r="J8" s="11" t="s">
        <v>25</v>
      </c>
      <c r="K8" s="11" t="s">
        <v>125</v>
      </c>
      <c r="L8" s="11" t="s">
        <v>45</v>
      </c>
      <c r="M8" s="11" t="s">
        <v>25</v>
      </c>
      <c r="N8" s="8" t="s">
        <v>28</v>
      </c>
      <c r="O8" s="8" t="s">
        <v>29</v>
      </c>
      <c r="P8" s="8"/>
      <c r="Q8" s="13"/>
    </row>
    <row x14ac:dyDescent="0.25" r="9" customHeight="1" ht="162.75">
      <c r="A9" s="7" t="s">
        <v>126</v>
      </c>
      <c r="B9" s="8" t="s">
        <v>18</v>
      </c>
      <c r="C9" s="24">
        <f>"REG-" &amp; TEXT(ROW()-2, "00")</f>
      </c>
      <c r="D9" s="8" t="s">
        <v>107</v>
      </c>
      <c r="E9" s="8" t="s">
        <v>20</v>
      </c>
      <c r="F9" s="8" t="s">
        <v>21</v>
      </c>
      <c r="G9" s="10" t="s">
        <v>22</v>
      </c>
      <c r="H9" s="8" t="s">
        <v>23</v>
      </c>
      <c r="I9" s="11" t="s">
        <v>127</v>
      </c>
      <c r="J9" s="11" t="s">
        <v>25</v>
      </c>
      <c r="K9" s="11" t="s">
        <v>128</v>
      </c>
      <c r="L9" s="11" t="s">
        <v>129</v>
      </c>
      <c r="M9" s="11" t="s">
        <v>25</v>
      </c>
      <c r="N9" s="8" t="s">
        <v>28</v>
      </c>
      <c r="O9" s="8" t="s">
        <v>29</v>
      </c>
      <c r="P9" s="8"/>
      <c r="Q9" s="13"/>
    </row>
    <row x14ac:dyDescent="0.25" r="10" customHeight="1" ht="91.5">
      <c r="A10" s="7" t="s">
        <v>130</v>
      </c>
      <c r="B10" s="8" t="s">
        <v>18</v>
      </c>
      <c r="C10" s="24">
        <f>"REG-" &amp; TEXT(ROW()-2, "00")</f>
      </c>
      <c r="D10" s="8" t="s">
        <v>107</v>
      </c>
      <c r="E10" s="8" t="s">
        <v>20</v>
      </c>
      <c r="F10" s="8" t="s">
        <v>21</v>
      </c>
      <c r="G10" s="10" t="s">
        <v>31</v>
      </c>
      <c r="H10" s="8" t="s">
        <v>32</v>
      </c>
      <c r="I10" s="11" t="s">
        <v>131</v>
      </c>
      <c r="J10" s="11" t="s">
        <v>25</v>
      </c>
      <c r="K10" s="11" t="s">
        <v>132</v>
      </c>
      <c r="L10" s="21" t="s">
        <v>133</v>
      </c>
      <c r="M10" s="11" t="s">
        <v>25</v>
      </c>
      <c r="N10" s="8"/>
      <c r="O10" s="8"/>
      <c r="P10" s="8"/>
      <c r="Q10" s="13"/>
    </row>
    <row x14ac:dyDescent="0.25" r="11" customHeight="1" ht="18.75">
      <c r="A11" s="14" t="s">
        <v>134</v>
      </c>
      <c r="B11" s="14" t="s">
        <v>58</v>
      </c>
      <c r="C11" s="14" t="s">
        <v>135</v>
      </c>
      <c r="D11" s="14" t="s">
        <v>60</v>
      </c>
      <c r="E11" s="14" t="s">
        <v>20</v>
      </c>
      <c r="F11" s="14" t="s">
        <v>21</v>
      </c>
      <c r="G11" s="15" t="s">
        <v>61</v>
      </c>
      <c r="H11" s="14" t="s">
        <v>32</v>
      </c>
      <c r="I11" s="15" t="s">
        <v>136</v>
      </c>
      <c r="J11" s="15" t="s">
        <v>137</v>
      </c>
      <c r="K11" s="15" t="s">
        <v>138</v>
      </c>
      <c r="L11" s="15" t="s">
        <v>25</v>
      </c>
      <c r="M11" s="15" t="s">
        <v>139</v>
      </c>
      <c r="N11" s="14" t="s">
        <v>66</v>
      </c>
      <c r="O11" s="14" t="s">
        <v>67</v>
      </c>
      <c r="P11" s="14" t="s">
        <v>140</v>
      </c>
      <c r="Q11" s="14" t="s">
        <v>25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1"/>
  <sheetViews>
    <sheetView workbookViewId="0" tabSelected="1"/>
  </sheetViews>
  <sheetFormatPr defaultRowHeight="15" x14ac:dyDescent="0.25"/>
  <cols>
    <col min="1" max="1" style="16" width="43.86214285714286" customWidth="1" bestFit="1"/>
    <col min="2" max="2" style="16" width="21.719285714285714" customWidth="1" bestFit="1"/>
    <col min="3" max="3" style="17" width="15.147857142857141" customWidth="1" bestFit="1"/>
    <col min="4" max="4" style="16" width="20.005" customWidth="1" bestFit="1"/>
    <col min="5" max="5" style="16" width="15.147857142857141" customWidth="1" bestFit="1"/>
    <col min="6" max="6" style="16" width="15.147857142857141" customWidth="1" bestFit="1"/>
    <col min="7" max="7" style="17" width="15.147857142857141" customWidth="1" bestFit="1"/>
    <col min="8" max="8" style="17" width="15.147857142857141" customWidth="1" bestFit="1"/>
    <col min="9" max="9" style="17" width="29.290714285714284" customWidth="1" bestFit="1"/>
    <col min="10" max="10" style="17" width="22.14785714285714" customWidth="1" bestFit="1"/>
    <col min="11" max="11" style="17" width="24.719285714285714" customWidth="1" bestFit="1"/>
    <col min="12" max="12" style="17" width="37.005" customWidth="1" bestFit="1"/>
    <col min="13" max="13" style="17" width="15.147857142857141" customWidth="1" bestFit="1"/>
    <col min="14" max="14" style="16" width="13.719285714285713" customWidth="1" bestFit="1"/>
    <col min="15" max="15" style="16" width="15.005" customWidth="1" bestFit="1"/>
    <col min="16" max="16" style="16" width="15.005" customWidth="1" bestFit="1"/>
    <col min="17" max="17" style="16" width="17.719285714285714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.75">
      <c r="A2" s="14"/>
      <c r="B2" s="18"/>
      <c r="C2" s="19"/>
      <c r="D2" s="18"/>
      <c r="E2" s="18"/>
      <c r="F2" s="18"/>
      <c r="G2" s="19"/>
      <c r="H2" s="19"/>
      <c r="I2" s="20"/>
      <c r="J2" s="20"/>
      <c r="K2" s="20"/>
      <c r="L2" s="20"/>
      <c r="M2" s="20"/>
      <c r="N2" s="18"/>
      <c r="O2" s="18"/>
      <c r="P2" s="18"/>
      <c r="Q2" s="5"/>
    </row>
    <row x14ac:dyDescent="0.25" r="3" customHeight="1" ht="18.75">
      <c r="A3" s="7" t="s">
        <v>69</v>
      </c>
      <c r="B3" s="8" t="s">
        <v>18</v>
      </c>
      <c r="C3" s="9">
        <f>"LOG-" &amp; TEXT(ROW()-2, "00")</f>
      </c>
      <c r="D3" s="8" t="s">
        <v>70</v>
      </c>
      <c r="E3" s="8" t="s">
        <v>20</v>
      </c>
      <c r="F3" s="8" t="s">
        <v>21</v>
      </c>
      <c r="G3" s="10" t="s">
        <v>22</v>
      </c>
      <c r="H3" s="10" t="s">
        <v>23</v>
      </c>
      <c r="I3" s="11" t="s">
        <v>71</v>
      </c>
      <c r="J3" s="11" t="s">
        <v>25</v>
      </c>
      <c r="K3" s="11" t="s">
        <v>72</v>
      </c>
      <c r="L3" s="21" t="s">
        <v>73</v>
      </c>
      <c r="M3" s="11" t="s">
        <v>25</v>
      </c>
      <c r="N3" s="8" t="s">
        <v>28</v>
      </c>
      <c r="O3" s="8" t="s">
        <v>29</v>
      </c>
      <c r="P3" s="8"/>
      <c r="Q3" s="22"/>
    </row>
    <row x14ac:dyDescent="0.25" r="4" customHeight="1" ht="18.75">
      <c r="A4" s="7" t="s">
        <v>74</v>
      </c>
      <c r="B4" s="8" t="s">
        <v>18</v>
      </c>
      <c r="C4" s="9">
        <f>"LOG-" &amp; TEXT(ROW()-2, "00")</f>
      </c>
      <c r="D4" s="8" t="s">
        <v>75</v>
      </c>
      <c r="E4" s="8" t="s">
        <v>20</v>
      </c>
      <c r="F4" s="8" t="s">
        <v>21</v>
      </c>
      <c r="G4" s="10" t="s">
        <v>37</v>
      </c>
      <c r="H4" s="10" t="s">
        <v>32</v>
      </c>
      <c r="I4" s="11" t="s">
        <v>76</v>
      </c>
      <c r="J4" s="11" t="s">
        <v>25</v>
      </c>
      <c r="K4" s="11" t="s">
        <v>77</v>
      </c>
      <c r="L4" s="11" t="s">
        <v>40</v>
      </c>
      <c r="M4" s="11" t="s">
        <v>25</v>
      </c>
      <c r="N4" s="8" t="s">
        <v>28</v>
      </c>
      <c r="O4" s="8" t="s">
        <v>29</v>
      </c>
      <c r="P4" s="8"/>
      <c r="Q4" s="22"/>
    </row>
    <row x14ac:dyDescent="0.25" r="5" customHeight="1" ht="18.75">
      <c r="A5" s="7" t="s">
        <v>53</v>
      </c>
      <c r="B5" s="8" t="s">
        <v>18</v>
      </c>
      <c r="C5" s="9">
        <f>"LOG-" &amp; TEXT(ROW()-2, "00")</f>
      </c>
      <c r="D5" s="8" t="s">
        <v>75</v>
      </c>
      <c r="E5" s="8" t="s">
        <v>20</v>
      </c>
      <c r="F5" s="8" t="s">
        <v>21</v>
      </c>
      <c r="G5" s="10" t="s">
        <v>37</v>
      </c>
      <c r="H5" s="10" t="s">
        <v>32</v>
      </c>
      <c r="I5" s="11" t="s">
        <v>78</v>
      </c>
      <c r="J5" s="11" t="s">
        <v>25</v>
      </c>
      <c r="K5" s="11" t="s">
        <v>79</v>
      </c>
      <c r="L5" s="11" t="s">
        <v>80</v>
      </c>
      <c r="M5" s="11" t="s">
        <v>25</v>
      </c>
      <c r="N5" s="8" t="s">
        <v>28</v>
      </c>
      <c r="O5" s="8" t="s">
        <v>29</v>
      </c>
      <c r="P5" s="8"/>
      <c r="Q5" s="22"/>
    </row>
    <row x14ac:dyDescent="0.25" r="6" customHeight="1" ht="18.75">
      <c r="A6" s="7" t="s">
        <v>49</v>
      </c>
      <c r="B6" s="8" t="s">
        <v>18</v>
      </c>
      <c r="C6" s="9">
        <f>"LOG-" &amp; TEXT(ROW()-2, "00")</f>
      </c>
      <c r="D6" s="8" t="s">
        <v>75</v>
      </c>
      <c r="E6" s="8" t="s">
        <v>20</v>
      </c>
      <c r="F6" s="8" t="s">
        <v>21</v>
      </c>
      <c r="G6" s="10" t="s">
        <v>31</v>
      </c>
      <c r="H6" s="10" t="s">
        <v>32</v>
      </c>
      <c r="I6" s="11" t="s">
        <v>81</v>
      </c>
      <c r="J6" s="11" t="s">
        <v>25</v>
      </c>
      <c r="K6" s="11" t="s">
        <v>82</v>
      </c>
      <c r="L6" s="21" t="s">
        <v>83</v>
      </c>
      <c r="M6" s="11" t="s">
        <v>25</v>
      </c>
      <c r="N6" s="8" t="s">
        <v>28</v>
      </c>
      <c r="O6" s="8" t="s">
        <v>29</v>
      </c>
      <c r="P6" s="8"/>
      <c r="Q6" s="22"/>
    </row>
    <row x14ac:dyDescent="0.25" r="7" customHeight="1" ht="18.75">
      <c r="A7" s="7" t="s">
        <v>84</v>
      </c>
      <c r="B7" s="8" t="s">
        <v>18</v>
      </c>
      <c r="C7" s="9">
        <f>"LOG-" &amp; TEXT(ROW()-2, "00")</f>
      </c>
      <c r="D7" s="8" t="s">
        <v>75</v>
      </c>
      <c r="E7" s="8" t="s">
        <v>20</v>
      </c>
      <c r="F7" s="8" t="s">
        <v>21</v>
      </c>
      <c r="G7" s="10" t="s">
        <v>31</v>
      </c>
      <c r="H7" s="10" t="s">
        <v>32</v>
      </c>
      <c r="I7" s="11" t="s">
        <v>85</v>
      </c>
      <c r="J7" s="11" t="s">
        <v>25</v>
      </c>
      <c r="K7" s="11" t="s">
        <v>86</v>
      </c>
      <c r="L7" s="11" t="s">
        <v>40</v>
      </c>
      <c r="M7" s="11" t="s">
        <v>25</v>
      </c>
      <c r="N7" s="8" t="s">
        <v>28</v>
      </c>
      <c r="O7" s="8" t="s">
        <v>29</v>
      </c>
      <c r="P7" s="8"/>
      <c r="Q7" s="22"/>
    </row>
    <row x14ac:dyDescent="0.25" r="8" customHeight="1" ht="18.75">
      <c r="A8" s="7" t="s">
        <v>87</v>
      </c>
      <c r="B8" s="8" t="s">
        <v>18</v>
      </c>
      <c r="C8" s="9">
        <f>"LOG-" &amp; TEXT(ROW()-2, "00")</f>
      </c>
      <c r="D8" s="8" t="s">
        <v>75</v>
      </c>
      <c r="E8" s="8" t="s">
        <v>20</v>
      </c>
      <c r="F8" s="8" t="s">
        <v>21</v>
      </c>
      <c r="G8" s="10" t="s">
        <v>31</v>
      </c>
      <c r="H8" s="10" t="s">
        <v>32</v>
      </c>
      <c r="I8" s="11" t="s">
        <v>88</v>
      </c>
      <c r="J8" s="11" t="s">
        <v>25</v>
      </c>
      <c r="K8" s="11" t="s">
        <v>89</v>
      </c>
      <c r="L8" s="11" t="s">
        <v>45</v>
      </c>
      <c r="M8" s="11" t="s">
        <v>25</v>
      </c>
      <c r="N8" s="8" t="s">
        <v>28</v>
      </c>
      <c r="O8" s="8" t="s">
        <v>29</v>
      </c>
      <c r="P8" s="8"/>
      <c r="Q8" s="22"/>
    </row>
    <row x14ac:dyDescent="0.25" r="9" customHeight="1" ht="18.75">
      <c r="A9" s="7" t="s">
        <v>90</v>
      </c>
      <c r="B9" s="8" t="s">
        <v>18</v>
      </c>
      <c r="C9" s="9">
        <f>"LOG-" &amp; TEXT(ROW()-2, "00")</f>
      </c>
      <c r="D9" s="8" t="s">
        <v>75</v>
      </c>
      <c r="E9" s="8" t="s">
        <v>20</v>
      </c>
      <c r="F9" s="8" t="s">
        <v>21</v>
      </c>
      <c r="G9" s="10" t="s">
        <v>31</v>
      </c>
      <c r="H9" s="10" t="s">
        <v>32</v>
      </c>
      <c r="I9" s="11" t="s">
        <v>91</v>
      </c>
      <c r="J9" s="11" t="s">
        <v>25</v>
      </c>
      <c r="K9" s="11" t="s">
        <v>92</v>
      </c>
      <c r="L9" s="11" t="s">
        <v>45</v>
      </c>
      <c r="M9" s="11" t="s">
        <v>25</v>
      </c>
      <c r="N9" s="8" t="s">
        <v>28</v>
      </c>
      <c r="O9" s="8" t="s">
        <v>29</v>
      </c>
      <c r="P9" s="8"/>
      <c r="Q9" s="22"/>
    </row>
    <row x14ac:dyDescent="0.25" r="10" customHeight="1" ht="18.75">
      <c r="A10" s="14" t="s">
        <v>93</v>
      </c>
      <c r="B10" s="14" t="s">
        <v>58</v>
      </c>
      <c r="C10" s="15" t="s">
        <v>94</v>
      </c>
      <c r="D10" s="14" t="s">
        <v>60</v>
      </c>
      <c r="E10" s="14" t="s">
        <v>20</v>
      </c>
      <c r="F10" s="14" t="s">
        <v>21</v>
      </c>
      <c r="G10" s="15" t="s">
        <v>61</v>
      </c>
      <c r="H10" s="15" t="s">
        <v>32</v>
      </c>
      <c r="I10" s="15" t="s">
        <v>95</v>
      </c>
      <c r="J10" s="15" t="s">
        <v>96</v>
      </c>
      <c r="K10" s="15" t="s">
        <v>97</v>
      </c>
      <c r="L10" s="15" t="s">
        <v>25</v>
      </c>
      <c r="M10" s="15" t="s">
        <v>98</v>
      </c>
      <c r="N10" s="14" t="s">
        <v>66</v>
      </c>
      <c r="O10" s="14" t="s">
        <v>67</v>
      </c>
      <c r="P10" s="14" t="s">
        <v>99</v>
      </c>
      <c r="Q10" s="14" t="s">
        <v>25</v>
      </c>
    </row>
    <row x14ac:dyDescent="0.25" r="11" customHeight="1" ht="18.75">
      <c r="A11" s="14" t="s">
        <v>100</v>
      </c>
      <c r="B11" s="14" t="s">
        <v>58</v>
      </c>
      <c r="C11" s="15" t="s">
        <v>101</v>
      </c>
      <c r="D11" s="14" t="s">
        <v>60</v>
      </c>
      <c r="E11" s="14" t="s">
        <v>20</v>
      </c>
      <c r="F11" s="14" t="s">
        <v>21</v>
      </c>
      <c r="G11" s="15" t="s">
        <v>61</v>
      </c>
      <c r="H11" s="15" t="s">
        <v>23</v>
      </c>
      <c r="I11" s="15" t="s">
        <v>102</v>
      </c>
      <c r="J11" s="15" t="s">
        <v>103</v>
      </c>
      <c r="K11" s="15" t="s">
        <v>104</v>
      </c>
      <c r="L11" s="15" t="s">
        <v>25</v>
      </c>
      <c r="M11" s="15" t="s">
        <v>105</v>
      </c>
      <c r="N11" s="14" t="s">
        <v>66</v>
      </c>
      <c r="O11" s="14" t="s">
        <v>67</v>
      </c>
      <c r="P11" s="14" t="s">
        <v>106</v>
      </c>
      <c r="Q11" s="1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"/>
  <sheetViews>
    <sheetView workbookViewId="0"/>
  </sheetViews>
  <sheetFormatPr defaultRowHeight="15" x14ac:dyDescent="0.25"/>
  <cols>
    <col min="1" max="1" style="16" width="43.86214285714286" customWidth="1" bestFit="1"/>
    <col min="2" max="2" style="16" width="21.719285714285714" customWidth="1" bestFit="1"/>
    <col min="3" max="3" style="17" width="15.147857142857141" customWidth="1" bestFit="1"/>
    <col min="4" max="4" style="16" width="20.005" customWidth="1" bestFit="1"/>
    <col min="5" max="5" style="16" width="15.147857142857141" customWidth="1" bestFit="1"/>
    <col min="6" max="6" style="16" width="15.147857142857141" customWidth="1" bestFit="1"/>
    <col min="7" max="7" style="17" width="15.147857142857141" customWidth="1" bestFit="1"/>
    <col min="8" max="8" style="16" width="15.147857142857141" customWidth="1" bestFit="1"/>
    <col min="9" max="9" style="17" width="29.290714285714284" customWidth="1" bestFit="1"/>
    <col min="10" max="10" style="17" width="22.14785714285714" customWidth="1" bestFit="1"/>
    <col min="11" max="11" style="17" width="24.719285714285714" customWidth="1" bestFit="1"/>
    <col min="12" max="12" style="17" width="39.43357142857143" customWidth="1" bestFit="1"/>
    <col min="13" max="13" style="17" width="15.147857142857141" customWidth="1" bestFit="1"/>
    <col min="14" max="14" style="17" width="13.719285714285713" customWidth="1" bestFit="1"/>
    <col min="15" max="15" style="17" width="15.005" customWidth="1" bestFit="1"/>
    <col min="16" max="16" style="17" width="22.719285714285714" customWidth="1" bestFit="1"/>
    <col min="17" max="17" style="16" width="17.719285714285714" customWidth="1" bestFit="1"/>
  </cols>
  <sheetData>
    <row x14ac:dyDescent="0.25" r="1" customHeight="1" ht="33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9.5">
      <c r="A2" s="4"/>
      <c r="B2" s="5"/>
      <c r="C2" s="4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x14ac:dyDescent="0.25" r="3" customHeight="1" ht="154.5">
      <c r="A3" s="7" t="s">
        <v>17</v>
      </c>
      <c r="B3" s="8" t="s">
        <v>18</v>
      </c>
      <c r="C3" s="9">
        <f>"PROF-" &amp; TEXT(ROW()-2, "00")</f>
      </c>
      <c r="D3" s="8" t="s">
        <v>19</v>
      </c>
      <c r="E3" s="8" t="s">
        <v>20</v>
      </c>
      <c r="F3" s="8" t="s">
        <v>21</v>
      </c>
      <c r="G3" s="10" t="s">
        <v>22</v>
      </c>
      <c r="H3" s="8" t="s">
        <v>23</v>
      </c>
      <c r="I3" s="11" t="s">
        <v>24</v>
      </c>
      <c r="J3" s="12" t="s">
        <v>25</v>
      </c>
      <c r="K3" s="11" t="s">
        <v>26</v>
      </c>
      <c r="L3" s="12" t="s">
        <v>27</v>
      </c>
      <c r="M3" s="12" t="s">
        <v>25</v>
      </c>
      <c r="N3" s="10" t="s">
        <v>28</v>
      </c>
      <c r="O3" s="10" t="s">
        <v>29</v>
      </c>
      <c r="P3" s="10"/>
      <c r="Q3" s="13"/>
    </row>
    <row x14ac:dyDescent="0.25" r="4" customHeight="1" ht="87">
      <c r="A4" s="7" t="s">
        <v>30</v>
      </c>
      <c r="B4" s="8" t="s">
        <v>18</v>
      </c>
      <c r="C4" s="9">
        <f>"PROF-" &amp; TEXT(ROW()-2, "00")</f>
      </c>
      <c r="D4" s="8" t="s">
        <v>19</v>
      </c>
      <c r="E4" s="8" t="s">
        <v>20</v>
      </c>
      <c r="F4" s="8" t="s">
        <v>21</v>
      </c>
      <c r="G4" s="10" t="s">
        <v>31</v>
      </c>
      <c r="H4" s="8" t="s">
        <v>32</v>
      </c>
      <c r="I4" s="11" t="s">
        <v>33</v>
      </c>
      <c r="J4" s="12" t="s">
        <v>25</v>
      </c>
      <c r="K4" s="11" t="s">
        <v>34</v>
      </c>
      <c r="L4" s="12" t="s">
        <v>35</v>
      </c>
      <c r="M4" s="12" t="s">
        <v>25</v>
      </c>
      <c r="N4" s="10" t="s">
        <v>28</v>
      </c>
      <c r="O4" s="10" t="s">
        <v>29</v>
      </c>
      <c r="P4" s="10"/>
      <c r="Q4" s="13"/>
    </row>
    <row x14ac:dyDescent="0.25" r="5" customHeight="1" ht="87">
      <c r="A5" s="7" t="s">
        <v>36</v>
      </c>
      <c r="B5" s="8" t="s">
        <v>18</v>
      </c>
      <c r="C5" s="9">
        <f>"PROF-" &amp; TEXT(ROW()-2, "00")</f>
      </c>
      <c r="D5" s="8" t="s">
        <v>19</v>
      </c>
      <c r="E5" s="8" t="s">
        <v>20</v>
      </c>
      <c r="F5" s="8" t="s">
        <v>21</v>
      </c>
      <c r="G5" s="10" t="s">
        <v>37</v>
      </c>
      <c r="H5" s="8" t="s">
        <v>32</v>
      </c>
      <c r="I5" s="11" t="s">
        <v>38</v>
      </c>
      <c r="J5" s="12" t="s">
        <v>25</v>
      </c>
      <c r="K5" s="11" t="s">
        <v>39</v>
      </c>
      <c r="L5" s="12" t="s">
        <v>40</v>
      </c>
      <c r="M5" s="12" t="s">
        <v>25</v>
      </c>
      <c r="N5" s="10" t="s">
        <v>28</v>
      </c>
      <c r="O5" s="10" t="s">
        <v>29</v>
      </c>
      <c r="P5" s="10"/>
      <c r="Q5" s="13"/>
    </row>
    <row x14ac:dyDescent="0.25" r="6" customHeight="1" ht="46.5">
      <c r="A6" s="7" t="s">
        <v>41</v>
      </c>
      <c r="B6" s="8" t="s">
        <v>18</v>
      </c>
      <c r="C6" s="9">
        <f>"PROF-" &amp; TEXT(ROW()-2, "00")</f>
      </c>
      <c r="D6" s="8" t="s">
        <v>42</v>
      </c>
      <c r="E6" s="8" t="s">
        <v>20</v>
      </c>
      <c r="F6" s="8" t="s">
        <v>21</v>
      </c>
      <c r="G6" s="10" t="s">
        <v>31</v>
      </c>
      <c r="H6" s="8" t="s">
        <v>32</v>
      </c>
      <c r="I6" s="11" t="s">
        <v>43</v>
      </c>
      <c r="J6" s="12" t="s">
        <v>25</v>
      </c>
      <c r="K6" s="11" t="s">
        <v>44</v>
      </c>
      <c r="L6" s="12" t="s">
        <v>45</v>
      </c>
      <c r="M6" s="12" t="s">
        <v>25</v>
      </c>
      <c r="N6" s="10" t="s">
        <v>28</v>
      </c>
      <c r="O6" s="10" t="s">
        <v>29</v>
      </c>
      <c r="P6" s="10"/>
      <c r="Q6" s="13"/>
    </row>
    <row x14ac:dyDescent="0.25" r="7" customHeight="1" ht="33">
      <c r="A7" s="7" t="s">
        <v>46</v>
      </c>
      <c r="B7" s="8" t="s">
        <v>18</v>
      </c>
      <c r="C7" s="9">
        <f>"PROF-" &amp; TEXT(ROW()-2, "00")</f>
      </c>
      <c r="D7" s="8" t="s">
        <v>42</v>
      </c>
      <c r="E7" s="8" t="s">
        <v>20</v>
      </c>
      <c r="F7" s="8" t="s">
        <v>21</v>
      </c>
      <c r="G7" s="10" t="s">
        <v>31</v>
      </c>
      <c r="H7" s="8" t="s">
        <v>32</v>
      </c>
      <c r="I7" s="11" t="s">
        <v>47</v>
      </c>
      <c r="J7" s="12" t="s">
        <v>25</v>
      </c>
      <c r="K7" s="11" t="s">
        <v>48</v>
      </c>
      <c r="L7" s="12" t="s">
        <v>45</v>
      </c>
      <c r="M7" s="12" t="s">
        <v>25</v>
      </c>
      <c r="N7" s="10" t="s">
        <v>28</v>
      </c>
      <c r="O7" s="10" t="s">
        <v>29</v>
      </c>
      <c r="P7" s="10"/>
      <c r="Q7" s="13"/>
    </row>
    <row x14ac:dyDescent="0.25" r="8" customHeight="1" ht="195">
      <c r="A8" s="7" t="s">
        <v>49</v>
      </c>
      <c r="B8" s="8" t="s">
        <v>18</v>
      </c>
      <c r="C8" s="9">
        <f>"PROF-" &amp; TEXT(ROW()-2, "00")</f>
      </c>
      <c r="D8" s="8" t="s">
        <v>19</v>
      </c>
      <c r="E8" s="8" t="s">
        <v>20</v>
      </c>
      <c r="F8" s="8" t="s">
        <v>21</v>
      </c>
      <c r="G8" s="10" t="s">
        <v>31</v>
      </c>
      <c r="H8" s="8" t="s">
        <v>32</v>
      </c>
      <c r="I8" s="11" t="s">
        <v>50</v>
      </c>
      <c r="J8" s="12" t="s">
        <v>25</v>
      </c>
      <c r="K8" s="11" t="s">
        <v>51</v>
      </c>
      <c r="L8" s="12" t="s">
        <v>52</v>
      </c>
      <c r="M8" s="12" t="s">
        <v>25</v>
      </c>
      <c r="N8" s="10" t="s">
        <v>28</v>
      </c>
      <c r="O8" s="10" t="s">
        <v>29</v>
      </c>
      <c r="P8" s="10"/>
      <c r="Q8" s="13"/>
    </row>
    <row x14ac:dyDescent="0.25" r="9" customHeight="1" ht="100.5">
      <c r="A9" s="7" t="s">
        <v>53</v>
      </c>
      <c r="B9" s="8" t="s">
        <v>18</v>
      </c>
      <c r="C9" s="9">
        <f>"PROF-" &amp; TEXT(ROW()-2, "00")</f>
      </c>
      <c r="D9" s="8" t="s">
        <v>19</v>
      </c>
      <c r="E9" s="8" t="s">
        <v>20</v>
      </c>
      <c r="F9" s="8" t="s">
        <v>21</v>
      </c>
      <c r="G9" s="10" t="s">
        <v>37</v>
      </c>
      <c r="H9" s="8" t="s">
        <v>32</v>
      </c>
      <c r="I9" s="11" t="s">
        <v>54</v>
      </c>
      <c r="J9" s="12" t="s">
        <v>25</v>
      </c>
      <c r="K9" s="11" t="s">
        <v>55</v>
      </c>
      <c r="L9" s="12" t="s">
        <v>56</v>
      </c>
      <c r="M9" s="12" t="s">
        <v>25</v>
      </c>
      <c r="N9" s="10" t="s">
        <v>28</v>
      </c>
      <c r="O9" s="10" t="s">
        <v>29</v>
      </c>
      <c r="P9" s="10"/>
      <c r="Q9" s="13"/>
    </row>
    <row x14ac:dyDescent="0.25" r="10" customHeight="1" ht="133.5">
      <c r="A10" s="14" t="s">
        <v>57</v>
      </c>
      <c r="B10" s="14" t="s">
        <v>58</v>
      </c>
      <c r="C10" s="15" t="s">
        <v>59</v>
      </c>
      <c r="D10" s="14" t="s">
        <v>60</v>
      </c>
      <c r="E10" s="14" t="s">
        <v>20</v>
      </c>
      <c r="F10" s="14" t="s">
        <v>21</v>
      </c>
      <c r="G10" s="15" t="s">
        <v>61</v>
      </c>
      <c r="H10" s="14" t="s">
        <v>32</v>
      </c>
      <c r="I10" s="15" t="s">
        <v>62</v>
      </c>
      <c r="J10" s="15" t="s">
        <v>63</v>
      </c>
      <c r="K10" s="15" t="s">
        <v>64</v>
      </c>
      <c r="L10" s="15" t="s">
        <v>25</v>
      </c>
      <c r="M10" s="15" t="s">
        <v>65</v>
      </c>
      <c r="N10" s="15" t="s">
        <v>66</v>
      </c>
      <c r="O10" s="15" t="s">
        <v>67</v>
      </c>
      <c r="P10" s="15" t="s">
        <v>68</v>
      </c>
      <c r="Q10" s="14" t="s">
        <v>25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Sign Up</vt:lpstr>
      <vt:lpstr>Sign In</vt:lpstr>
      <vt:lpstr>Profile Page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2026-05-04T00:55:11.684Z</dcterms:created>
  <dcterms:modified xsi:type="dcterms:W3CDTF">2026-05-04T00:55:11.684Z</dcterms:modified>
</cp:coreProperties>
</file>